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ice_Data" sheetId="2" state="visible" r:id="rId2"/>
    <sheet xmlns:r="http://schemas.openxmlformats.org/officeDocument/2006/relationships" name="Portfolio_Allocation" sheetId="3" state="visible" r:id="rId3"/>
    <sheet xmlns:r="http://schemas.openxmlformats.org/officeDocument/2006/relationships" name="Returns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Correlation" sheetId="6" state="visible" r:id="rId6"/>
    <sheet xmlns:r="http://schemas.openxmlformats.org/officeDocument/2006/relationships" name="Scenario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0" fontId="2" fillId="3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vs NIFTY 50 —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'Returns'!I1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'Returns'!$A$2:$A$30</f>
            </numRef>
          </cat>
          <val>
            <numRef>
              <f>'Returns'!$I$2:$I$30</f>
            </numRef>
          </val>
        </ser>
        <ser>
          <idx val="1"/>
          <order val="1"/>
          <tx>
            <strRef>
              <f>'Returns'!J1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'Returns'!$A$2:$A$30</f>
            </numRef>
          </cat>
          <val>
            <numRef>
              <f>'Returns'!$J$2:$J$30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Contribution to Portfolio Return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'Metrics'!F14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'Metrics'!$A$15:$A$19</f>
            </numRef>
          </cat>
          <val>
            <numRef>
              <f>'Metrics'!$F$15:$F$19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Contribution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Scenario: Annualized Volatility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'Scenarios'!$A$4:$A$7</f>
            </numRef>
          </cat>
          <val>
            <numRef>
              <f>'Scenarios'!$H$4:$H$7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iceDataTable" displayName="PriceDataTable" ref="A1:G31" headerRowCount="1">
  <autoFilter ref="A1:G31"/>
  <tableColumns count="7">
    <tableColumn id="1" name="Date"/>
    <tableColumn id="2" name="Reliance"/>
    <tableColumn id="3" name="TCS"/>
    <tableColumn id="4" name="HDFC Bank"/>
    <tableColumn id="5" name="Infosys"/>
    <tableColumn id="6" name="Sun Pharma"/>
    <tableColumn id="7" name="NIFTY 50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turnsTable" displayName="ReturnsTable" ref="A1:J30" headerRowCount="1">
  <autoFilter ref="A1:J30"/>
  <tableColumns count="10">
    <tableColumn id="1" name="Date"/>
    <tableColumn id="2" name="Reliance Return"/>
    <tableColumn id="3" name="TCS Return"/>
    <tableColumn id="4" name="HDFC Bank Return"/>
    <tableColumn id="5" name="Infosys Return"/>
    <tableColumn id="6" name="Sun Pharma Return"/>
    <tableColumn id="7" name="NIFTY 50 Return"/>
    <tableColumn id="8" name="Portfolio Return"/>
    <tableColumn id="9" name="Portfolio Cumulative Return"/>
    <tableColumn id="10" name="NIFTY 50 Cumulative Retur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Stock Market Portfolio Risk &amp; Return Analyzer — Excel Dataset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Purpose</t>
        </is>
      </c>
      <c r="B3" s="2" t="inlineStr">
        <is>
          <t>Sample, Excel-ready dataset built directly from the uploaded project requirements.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Data type</t>
        </is>
      </c>
      <c r="B4" s="2" t="inlineStr">
        <is>
          <t>Synthetic/illustrative market data for academic/project use — not live investment data.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Period</t>
        </is>
      </c>
      <c r="B5" s="2" t="inlineStr">
        <is>
          <t>30 business/trading days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Assets</t>
        </is>
      </c>
      <c r="B6" s="2" t="inlineStr">
        <is>
          <t>Reliance, TCS, HDFC Bank, Infosys, Sun Pharma + NIFTY 50 benchmark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Initial portfolio</t>
        </is>
      </c>
      <c r="B7" s="2" t="inlineStr">
        <is>
          <t>₹10,00,000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Risk-free rate</t>
        </is>
      </c>
      <c r="B8" s="2" t="inlineStr">
        <is>
          <t>4% annual; daily rate = 4% / 252, as specified in the project document.</t>
        </is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Required analysis</t>
        </is>
      </c>
      <c r="B9" s="2" t="inlineStr">
        <is>
          <t>Daily return, cumulative return, weighted portfolio return, annualized volatility, beta, Sharpe ratio, Treynor ratio, max drawdown, correlation matrix, allocation, and scenario analysis.</t>
        </is>
      </c>
      <c r="C9" s="2" t="n"/>
      <c r="D9" s="2" t="n"/>
      <c r="E9" s="2" t="n"/>
      <c r="F9" s="2" t="n"/>
      <c r="G9" s="2" t="n"/>
      <c r="H9" s="2" t="n"/>
    </row>
    <row r="10">
      <c r="A10" s="3" t="inlineStr">
        <is>
          <t>Workbook sheets</t>
        </is>
      </c>
      <c r="B10" s="2" t="inlineStr">
        <is>
          <t>Price_Data, Portfolio_Allocation, Returns, Metrics, Correlation, Scenarios</t>
        </is>
      </c>
      <c r="C10" s="2" t="n"/>
      <c r="D10" s="2" t="n"/>
      <c r="E10" s="2" t="n"/>
      <c r="F10" s="2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4" t="inlineStr">
        <is>
          <t>Date</t>
        </is>
      </c>
      <c r="B1" s="4" t="inlineStr">
        <is>
          <t>Reliance</t>
        </is>
      </c>
      <c r="C1" s="4" t="inlineStr">
        <is>
          <t>TCS</t>
        </is>
      </c>
      <c r="D1" s="4" t="inlineStr">
        <is>
          <t>HDFC Bank</t>
        </is>
      </c>
      <c r="E1" s="4" t="inlineStr">
        <is>
          <t>Infosys</t>
        </is>
      </c>
      <c r="F1" s="4" t="inlineStr">
        <is>
          <t>Sun Pharma</t>
        </is>
      </c>
      <c r="G1" s="4" t="inlineStr">
        <is>
          <t>NIFTY 50</t>
        </is>
      </c>
    </row>
    <row r="2">
      <c r="A2" s="5" t="n">
        <v>46174</v>
      </c>
      <c r="B2" s="6" t="n">
        <v>1452.030515861374</v>
      </c>
      <c r="C2" s="6" t="n">
        <v>3556.254762616474</v>
      </c>
      <c r="D2" s="6" t="n">
        <v>1860.366432752141</v>
      </c>
      <c r="E2" s="6" t="n">
        <v>1494.450430038271</v>
      </c>
      <c r="F2" s="6" t="n">
        <v>1728.524724023169</v>
      </c>
      <c r="G2" s="6" t="n">
        <v>24819.0645562144</v>
      </c>
    </row>
    <row r="3">
      <c r="A3" s="5" t="n">
        <v>46175</v>
      </c>
      <c r="B3" s="6" t="n">
        <v>1468.512093961389</v>
      </c>
      <c r="C3" s="6" t="n">
        <v>3550.98671786875</v>
      </c>
      <c r="D3" s="6" t="n">
        <v>1869.563642064806</v>
      </c>
      <c r="E3" s="6" t="n">
        <v>1485.173088010612</v>
      </c>
      <c r="F3" s="6" t="n">
        <v>1731.666046495134</v>
      </c>
      <c r="G3" s="6" t="n">
        <v>24796.86691325979</v>
      </c>
    </row>
    <row r="4">
      <c r="A4" s="5" t="n">
        <v>46176</v>
      </c>
      <c r="B4" s="6" t="n">
        <v>1478.278323098937</v>
      </c>
      <c r="C4" s="6" t="n">
        <v>3549.095728522778</v>
      </c>
      <c r="D4" s="6" t="n">
        <v>1873.914656773869</v>
      </c>
      <c r="E4" s="6" t="n">
        <v>1507.224287112453</v>
      </c>
      <c r="F4" s="6" t="n">
        <v>1732.10992379206</v>
      </c>
      <c r="G4" s="6" t="n">
        <v>24950.09163500417</v>
      </c>
    </row>
    <row r="5">
      <c r="A5" s="5" t="n">
        <v>46177</v>
      </c>
      <c r="B5" s="6" t="n">
        <v>1490.304133673395</v>
      </c>
      <c r="C5" s="6" t="n">
        <v>3569.217475707913</v>
      </c>
      <c r="D5" s="6" t="n">
        <v>1897.107776649794</v>
      </c>
      <c r="E5" s="6" t="n">
        <v>1514.6743892729</v>
      </c>
      <c r="F5" s="6" t="n">
        <v>1750.904610079295</v>
      </c>
      <c r="G5" s="6" t="n">
        <v>25300.82177739847</v>
      </c>
    </row>
    <row r="6">
      <c r="A6" s="5" t="n">
        <v>46178</v>
      </c>
      <c r="B6" s="6" t="n">
        <v>1495.894700448702</v>
      </c>
      <c r="C6" s="6" t="n">
        <v>3580.907086630294</v>
      </c>
      <c r="D6" s="6" t="n">
        <v>1889.876746115186</v>
      </c>
      <c r="E6" s="6" t="n">
        <v>1518.08089595445</v>
      </c>
      <c r="F6" s="6" t="n">
        <v>1752.543697714707</v>
      </c>
      <c r="G6" s="6" t="n">
        <v>25256.3586097985</v>
      </c>
    </row>
    <row r="7">
      <c r="A7" s="5" t="n">
        <v>46181</v>
      </c>
      <c r="B7" s="6" t="n">
        <v>1481.637959374185</v>
      </c>
      <c r="C7" s="6" t="n">
        <v>3603.343877460582</v>
      </c>
      <c r="D7" s="6" t="n">
        <v>1870.929561312584</v>
      </c>
      <c r="E7" s="6" t="n">
        <v>1536.588509211074</v>
      </c>
      <c r="F7" s="6" t="n">
        <v>1743.591161732937</v>
      </c>
      <c r="G7" s="6" t="n">
        <v>25211.97731277529</v>
      </c>
    </row>
    <row r="8">
      <c r="A8" s="5" t="n">
        <v>46182</v>
      </c>
      <c r="B8" s="6" t="n">
        <v>1506.675676938083</v>
      </c>
      <c r="C8" s="6" t="n">
        <v>3647.60166890769</v>
      </c>
      <c r="D8" s="6" t="n">
        <v>1901.800671668133</v>
      </c>
      <c r="E8" s="6" t="n">
        <v>1548.840412188533</v>
      </c>
      <c r="F8" s="6" t="n">
        <v>1780.17264939804</v>
      </c>
      <c r="G8" s="6" t="n">
        <v>25579.13720392431</v>
      </c>
    </row>
    <row r="9">
      <c r="A9" s="5" t="n">
        <v>46183</v>
      </c>
      <c r="B9" s="6" t="n">
        <v>1499.341032669019</v>
      </c>
      <c r="C9" s="6" t="n">
        <v>3691.328412328307</v>
      </c>
      <c r="D9" s="6" t="n">
        <v>1918.899824534714</v>
      </c>
      <c r="E9" s="6" t="n">
        <v>1554.513847160632</v>
      </c>
      <c r="F9" s="6" t="n">
        <v>1794.200393303696</v>
      </c>
      <c r="G9" s="6" t="n">
        <v>25764.76276603421</v>
      </c>
    </row>
    <row r="10">
      <c r="A10" s="5" t="n">
        <v>46184</v>
      </c>
      <c r="B10" s="6" t="n">
        <v>1480.670874892481</v>
      </c>
      <c r="C10" s="6" t="n">
        <v>3687.618697724248</v>
      </c>
      <c r="D10" s="6" t="n">
        <v>1911.942639407665</v>
      </c>
      <c r="E10" s="6" t="n">
        <v>1550.186597429717</v>
      </c>
      <c r="F10" s="6" t="n">
        <v>1777.43045770152</v>
      </c>
      <c r="G10" s="6" t="n">
        <v>25664.91736739723</v>
      </c>
    </row>
    <row r="11">
      <c r="A11" s="5" t="n">
        <v>46185</v>
      </c>
      <c r="B11" s="6" t="n">
        <v>1491.071537171232</v>
      </c>
      <c r="C11" s="6" t="n">
        <v>3692.043566109143</v>
      </c>
      <c r="D11" s="6" t="n">
        <v>1919.767140418919</v>
      </c>
      <c r="E11" s="6" t="n">
        <v>1553.488245793826</v>
      </c>
      <c r="F11" s="6" t="n">
        <v>1791.046993231329</v>
      </c>
      <c r="G11" s="6" t="n">
        <v>25799.22291664519</v>
      </c>
    </row>
    <row r="12">
      <c r="A12" s="5" t="n">
        <v>46188</v>
      </c>
      <c r="B12" s="6" t="n">
        <v>1492.619620682851</v>
      </c>
      <c r="C12" s="6" t="n">
        <v>3688.499316820203</v>
      </c>
      <c r="D12" s="6" t="n">
        <v>1897.094864154234</v>
      </c>
      <c r="E12" s="6" t="n">
        <v>1533.349081205955</v>
      </c>
      <c r="F12" s="6" t="n">
        <v>1776.697870649079</v>
      </c>
      <c r="G12" s="6" t="n">
        <v>25700.65029742254</v>
      </c>
    </row>
    <row r="13">
      <c r="A13" s="5" t="n">
        <v>46189</v>
      </c>
      <c r="B13" s="6" t="n">
        <v>1488.634695952573</v>
      </c>
      <c r="C13" s="6" t="n">
        <v>3708.763447031921</v>
      </c>
      <c r="D13" s="6" t="n">
        <v>1885.595982842162</v>
      </c>
      <c r="E13" s="6" t="n">
        <v>1528.834289782452</v>
      </c>
      <c r="F13" s="6" t="n">
        <v>1781.220434760622</v>
      </c>
      <c r="G13" s="6" t="n">
        <v>25601.91950726012</v>
      </c>
    </row>
    <row r="14">
      <c r="A14" s="5" t="n">
        <v>46190</v>
      </c>
      <c r="B14" s="6" t="n">
        <v>1491.838728518072</v>
      </c>
      <c r="C14" s="6" t="n">
        <v>3717.113609854695</v>
      </c>
      <c r="D14" s="6" t="n">
        <v>1887.028877867138</v>
      </c>
      <c r="E14" s="6" t="n">
        <v>1522.864183314469</v>
      </c>
      <c r="F14" s="6" t="n">
        <v>1797.099218308305</v>
      </c>
      <c r="G14" s="6" t="n">
        <v>25666.6324664915</v>
      </c>
    </row>
    <row r="15">
      <c r="A15" s="5" t="n">
        <v>46191</v>
      </c>
      <c r="B15" s="6" t="n">
        <v>1462.86696331669</v>
      </c>
      <c r="C15" s="6" t="n">
        <v>3696.916473206219</v>
      </c>
      <c r="D15" s="6" t="n">
        <v>1846.830010493975</v>
      </c>
      <c r="E15" s="6" t="n">
        <v>1503.356638783051</v>
      </c>
      <c r="F15" s="6" t="n">
        <v>1769.119671385929</v>
      </c>
      <c r="G15" s="6" t="n">
        <v>25233.6486402495</v>
      </c>
    </row>
    <row r="16">
      <c r="A16" s="5" t="n">
        <v>46192</v>
      </c>
      <c r="B16" s="6" t="n">
        <v>1425.86613313914</v>
      </c>
      <c r="C16" s="6" t="n">
        <v>3597.074887031874</v>
      </c>
      <c r="D16" s="6" t="n">
        <v>1817.484403134566</v>
      </c>
      <c r="E16" s="6" t="n">
        <v>1473.536089990581</v>
      </c>
      <c r="F16" s="6" t="n">
        <v>1762.462451869366</v>
      </c>
      <c r="G16" s="6" t="n">
        <v>24850.74668260317</v>
      </c>
    </row>
    <row r="17">
      <c r="A17" s="5" t="n">
        <v>46195</v>
      </c>
      <c r="B17" s="6" t="n">
        <v>1412.498489129547</v>
      </c>
      <c r="C17" s="6" t="n">
        <v>3600.01176981326</v>
      </c>
      <c r="D17" s="6" t="n">
        <v>1813.582095470035</v>
      </c>
      <c r="E17" s="6" t="n">
        <v>1481.514602629437</v>
      </c>
      <c r="F17" s="6" t="n">
        <v>1761.995053023171</v>
      </c>
      <c r="G17" s="6" t="n">
        <v>24733.6850593745</v>
      </c>
    </row>
    <row r="18">
      <c r="A18" s="5" t="n">
        <v>46196</v>
      </c>
      <c r="B18" s="6" t="n">
        <v>1395.622089817297</v>
      </c>
      <c r="C18" s="6" t="n">
        <v>3575.992854183358</v>
      </c>
      <c r="D18" s="6" t="n">
        <v>1817.924533073441</v>
      </c>
      <c r="E18" s="6" t="n">
        <v>1462.398061934285</v>
      </c>
      <c r="F18" s="6" t="n">
        <v>1761.210610897961</v>
      </c>
      <c r="G18" s="6" t="n">
        <v>24516.88243560711</v>
      </c>
    </row>
    <row r="19">
      <c r="A19" s="5" t="n">
        <v>46197</v>
      </c>
      <c r="B19" s="6" t="n">
        <v>1410.218108211212</v>
      </c>
      <c r="C19" s="6" t="n">
        <v>3580.845303647277</v>
      </c>
      <c r="D19" s="6" t="n">
        <v>1825.942993351181</v>
      </c>
      <c r="E19" s="6" t="n">
        <v>1464.302884097887</v>
      </c>
      <c r="F19" s="6" t="n">
        <v>1785.456501332977</v>
      </c>
      <c r="G19" s="6" t="n">
        <v>24594.80262864005</v>
      </c>
    </row>
    <row r="20">
      <c r="A20" s="5" t="n">
        <v>46198</v>
      </c>
      <c r="B20" s="6" t="n">
        <v>1402.137828322513</v>
      </c>
      <c r="C20" s="6" t="n">
        <v>3559.918127857465</v>
      </c>
      <c r="D20" s="6" t="n">
        <v>1814.789358592938</v>
      </c>
      <c r="E20" s="6" t="n">
        <v>1461.217159951008</v>
      </c>
      <c r="F20" s="6" t="n">
        <v>1774.321020614367</v>
      </c>
      <c r="G20" s="6" t="n">
        <v>24402.4167532846</v>
      </c>
    </row>
    <row r="21">
      <c r="A21" s="5" t="n">
        <v>46199</v>
      </c>
      <c r="B21" s="6" t="n">
        <v>1368.222174013421</v>
      </c>
      <c r="C21" s="6" t="n">
        <v>3484.667680141423</v>
      </c>
      <c r="D21" s="6" t="n">
        <v>1791.972883769579</v>
      </c>
      <c r="E21" s="6" t="n">
        <v>1433.316598535334</v>
      </c>
      <c r="F21" s="6" t="n">
        <v>1752.608843003745</v>
      </c>
      <c r="G21" s="6" t="n">
        <v>24100.78498762854</v>
      </c>
    </row>
    <row r="22">
      <c r="A22" s="5" t="n">
        <v>46202</v>
      </c>
      <c r="B22" s="6" t="n">
        <v>1390.899672101283</v>
      </c>
      <c r="C22" s="6" t="n">
        <v>3521.610446228076</v>
      </c>
      <c r="D22" s="6" t="n">
        <v>1796.68929524242</v>
      </c>
      <c r="E22" s="6" t="n">
        <v>1454.17715792492</v>
      </c>
      <c r="F22" s="6" t="n">
        <v>1759.241518823167</v>
      </c>
      <c r="G22" s="6" t="n">
        <v>24427.12983499865</v>
      </c>
    </row>
    <row r="23">
      <c r="A23" s="5" t="n">
        <v>46203</v>
      </c>
      <c r="B23" s="6" t="n">
        <v>1385.309478211769</v>
      </c>
      <c r="C23" s="6" t="n">
        <v>3524.548985198404</v>
      </c>
      <c r="D23" s="6" t="n">
        <v>1793.786263642945</v>
      </c>
      <c r="E23" s="6" t="n">
        <v>1464.045782455602</v>
      </c>
      <c r="F23" s="6" t="n">
        <v>1749.269868611531</v>
      </c>
      <c r="G23" s="6" t="n">
        <v>24386.04372739005</v>
      </c>
    </row>
    <row r="24">
      <c r="A24" s="5" t="n">
        <v>46204</v>
      </c>
      <c r="B24" s="6" t="n">
        <v>1380.953578320752</v>
      </c>
      <c r="C24" s="6" t="n">
        <v>3557.124657432579</v>
      </c>
      <c r="D24" s="6" t="n">
        <v>1796.525535021862</v>
      </c>
      <c r="E24" s="6" t="n">
        <v>1451.196540864766</v>
      </c>
      <c r="F24" s="6" t="n">
        <v>1750.109395246408</v>
      </c>
      <c r="G24" s="6" t="n">
        <v>24409.3995544658</v>
      </c>
    </row>
    <row r="25">
      <c r="A25" s="5" t="n">
        <v>46205</v>
      </c>
      <c r="B25" s="6" t="n">
        <v>1368.703864843084</v>
      </c>
      <c r="C25" s="6" t="n">
        <v>3510.340251851743</v>
      </c>
      <c r="D25" s="6" t="n">
        <v>1800.17979475257</v>
      </c>
      <c r="E25" s="6" t="n">
        <v>1436.068735433203</v>
      </c>
      <c r="F25" s="6" t="n">
        <v>1740.063128456974</v>
      </c>
      <c r="G25" s="6" t="n">
        <v>24104.9476146338</v>
      </c>
    </row>
    <row r="26">
      <c r="A26" s="5" t="n">
        <v>46206</v>
      </c>
      <c r="B26" s="6" t="n">
        <v>1371.680221098062</v>
      </c>
      <c r="C26" s="6" t="n">
        <v>3482.209288429523</v>
      </c>
      <c r="D26" s="6" t="n">
        <v>1790.377567135687</v>
      </c>
      <c r="E26" s="6" t="n">
        <v>1432.578084636633</v>
      </c>
      <c r="F26" s="6" t="n">
        <v>1738.363096972905</v>
      </c>
      <c r="G26" s="6" t="n">
        <v>23995.283492786</v>
      </c>
    </row>
    <row r="27">
      <c r="A27" s="5" t="n">
        <v>46209</v>
      </c>
      <c r="B27" s="6" t="n">
        <v>1382.26827455907</v>
      </c>
      <c r="C27" s="6" t="n">
        <v>3477.635037664193</v>
      </c>
      <c r="D27" s="6" t="n">
        <v>1796.316747059132</v>
      </c>
      <c r="E27" s="6" t="n">
        <v>1441.758317116949</v>
      </c>
      <c r="F27" s="6" t="n">
        <v>1749.070538634796</v>
      </c>
      <c r="G27" s="6" t="n">
        <v>24027.63641288106</v>
      </c>
    </row>
    <row r="28">
      <c r="A28" s="5" t="n">
        <v>46210</v>
      </c>
      <c r="B28" s="6" t="n">
        <v>1360.54689177842</v>
      </c>
      <c r="C28" s="6" t="n">
        <v>3466.600886942375</v>
      </c>
      <c r="D28" s="6" t="n">
        <v>1778.371056922224</v>
      </c>
      <c r="E28" s="6" t="n">
        <v>1417.396076924163</v>
      </c>
      <c r="F28" s="6" t="n">
        <v>1738.38756371578</v>
      </c>
      <c r="G28" s="6" t="n">
        <v>23787.14518889879</v>
      </c>
    </row>
    <row r="29">
      <c r="A29" s="5" t="n">
        <v>46211</v>
      </c>
      <c r="B29" s="6" t="n">
        <v>1363.482905481444</v>
      </c>
      <c r="C29" s="6" t="n">
        <v>3484.903572247826</v>
      </c>
      <c r="D29" s="6" t="n">
        <v>1773.343512220004</v>
      </c>
      <c r="E29" s="6" t="n">
        <v>1411.213235149859</v>
      </c>
      <c r="F29" s="6" t="n">
        <v>1758.320850548327</v>
      </c>
      <c r="G29" s="6" t="n">
        <v>23875.90173950103</v>
      </c>
    </row>
    <row r="30">
      <c r="A30" s="5" t="n">
        <v>46212</v>
      </c>
      <c r="B30" s="6" t="n">
        <v>1359.521546805714</v>
      </c>
      <c r="C30" s="6" t="n">
        <v>3460.819169827879</v>
      </c>
      <c r="D30" s="6" t="n">
        <v>1776.522450564043</v>
      </c>
      <c r="E30" s="6" t="n">
        <v>1409.397112249836</v>
      </c>
      <c r="F30" s="6" t="n">
        <v>1750.313145582306</v>
      </c>
      <c r="G30" s="6" t="n">
        <v>23755.19119203686</v>
      </c>
    </row>
    <row r="31">
      <c r="A31" s="5" t="n">
        <v>46213</v>
      </c>
      <c r="B31" s="6" t="n">
        <v>1365.234307178921</v>
      </c>
      <c r="C31" s="6" t="n">
        <v>3464.934131220893</v>
      </c>
      <c r="D31" s="6" t="n">
        <v>1780.619054204647</v>
      </c>
      <c r="E31" s="6" t="n">
        <v>1409.340487484579</v>
      </c>
      <c r="F31" s="6" t="n">
        <v>1776.851580014677</v>
      </c>
      <c r="G31" s="6" t="n">
        <v>23701.14234179132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</cols>
  <sheetData>
    <row r="1">
      <c r="A1" s="4" t="inlineStr">
        <is>
          <t>Stock</t>
        </is>
      </c>
      <c r="B1" s="4" t="inlineStr">
        <is>
          <t>Weight (%)</t>
        </is>
      </c>
      <c r="C1" s="4" t="inlineStr">
        <is>
          <t>Initial Investment (₹)</t>
        </is>
      </c>
    </row>
    <row r="2">
      <c r="A2" s="2" t="inlineStr">
        <is>
          <t>Reliance</t>
        </is>
      </c>
      <c r="B2" s="7" t="n">
        <v>0.22</v>
      </c>
      <c r="C2" s="8" t="n">
        <v>220000</v>
      </c>
    </row>
    <row r="3">
      <c r="A3" s="2" t="inlineStr">
        <is>
          <t>TCS</t>
        </is>
      </c>
      <c r="B3" s="7" t="n">
        <v>0.2</v>
      </c>
      <c r="C3" s="8" t="n">
        <v>200000</v>
      </c>
    </row>
    <row r="4">
      <c r="A4" s="2" t="inlineStr">
        <is>
          <t>HDFC Bank</t>
        </is>
      </c>
      <c r="B4" s="7" t="n">
        <v>0.23</v>
      </c>
      <c r="C4" s="8" t="n">
        <v>230000</v>
      </c>
    </row>
    <row r="5">
      <c r="A5" s="2" t="inlineStr">
        <is>
          <t>Infosys</t>
        </is>
      </c>
      <c r="B5" s="7" t="n">
        <v>0.18</v>
      </c>
      <c r="C5" s="8" t="n">
        <v>180000</v>
      </c>
    </row>
    <row r="6">
      <c r="A6" s="2" t="inlineStr">
        <is>
          <t>Sun Pharma</t>
        </is>
      </c>
      <c r="B6" s="7" t="n">
        <v>0.17</v>
      </c>
      <c r="C6" s="8" t="n">
        <v>170000</v>
      </c>
    </row>
    <row r="7">
      <c r="A7" s="9" t="inlineStr">
        <is>
          <t>Total</t>
        </is>
      </c>
      <c r="B7" s="10">
        <f>SUM(B2:B6)</f>
        <v/>
      </c>
      <c r="C7" s="11">
        <f>SUM(C2:C6)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4" t="inlineStr">
        <is>
          <t>Date</t>
        </is>
      </c>
      <c r="B1" s="4" t="inlineStr">
        <is>
          <t>Reliance Return</t>
        </is>
      </c>
      <c r="C1" s="4" t="inlineStr">
        <is>
          <t>TCS Return</t>
        </is>
      </c>
      <c r="D1" s="4" t="inlineStr">
        <is>
          <t>HDFC Bank Return</t>
        </is>
      </c>
      <c r="E1" s="4" t="inlineStr">
        <is>
          <t>Infosys Return</t>
        </is>
      </c>
      <c r="F1" s="4" t="inlineStr">
        <is>
          <t>Sun Pharma Return</t>
        </is>
      </c>
      <c r="G1" s="4" t="inlineStr">
        <is>
          <t>NIFTY 50 Return</t>
        </is>
      </c>
      <c r="H1" s="4" t="inlineStr">
        <is>
          <t>Portfolio Return</t>
        </is>
      </c>
      <c r="I1" s="4" t="inlineStr">
        <is>
          <t>Portfolio Cumulative Return</t>
        </is>
      </c>
      <c r="J1" s="4" t="inlineStr">
        <is>
          <t>NIFTY 50 Cumulative Return</t>
        </is>
      </c>
    </row>
    <row r="2">
      <c r="A2" s="5" t="n">
        <v>46175</v>
      </c>
      <c r="B2" s="7" t="n">
        <v>0.01135071055324044</v>
      </c>
      <c r="C2" s="7" t="n">
        <v>-0.001481346275610584</v>
      </c>
      <c r="D2" s="7" t="n">
        <v>0.004943762234550064</v>
      </c>
      <c r="E2" s="7" t="n">
        <v>-0.006207861994740993</v>
      </c>
      <c r="F2" s="7" t="n">
        <v>0.001817343095130486</v>
      </c>
      <c r="G2" s="7" t="n">
        <v>-0.0008943787105406553</v>
      </c>
      <c r="H2" s="7" t="n">
        <v>0.002529485547656098</v>
      </c>
      <c r="I2" s="7" t="n">
        <v>0.002529485547656085</v>
      </c>
      <c r="J2" s="7" t="n">
        <v>-0.0008943787105406553</v>
      </c>
    </row>
    <row r="3">
      <c r="A3" s="5" t="n">
        <v>46176</v>
      </c>
      <c r="B3" s="7" t="n">
        <v>0.006650424724254922</v>
      </c>
      <c r="C3" s="7" t="n">
        <v>-0.0005325250405628923</v>
      </c>
      <c r="D3" s="7" t="n">
        <v>0.002327288898417601</v>
      </c>
      <c r="E3" s="7" t="n">
        <v>0.01484756172856483</v>
      </c>
      <c r="F3" s="7" t="n">
        <v>0.0002563296184181496</v>
      </c>
      <c r="G3" s="7" t="n">
        <v>0.006179196842906132</v>
      </c>
      <c r="H3" s="7" t="n">
        <v>0.004608002024132307</v>
      </c>
      <c r="I3" s="7" t="n">
        <v>0.007149143446312012</v>
      </c>
      <c r="J3" s="7" t="n">
        <v>0.005279291590260859</v>
      </c>
    </row>
    <row r="4">
      <c r="A4" s="5" t="n">
        <v>46177</v>
      </c>
      <c r="B4" s="7" t="n">
        <v>0.008135011104842382</v>
      </c>
      <c r="C4" s="7" t="n">
        <v>0.005669541969077763</v>
      </c>
      <c r="D4" s="7" t="n">
        <v>0.01237682825740527</v>
      </c>
      <c r="E4" s="7" t="n">
        <v>0.004942928682976522</v>
      </c>
      <c r="F4" s="7" t="n">
        <v>0.01085074684295306</v>
      </c>
      <c r="G4" s="7" t="n">
        <v>0.01405726870767232</v>
      </c>
      <c r="H4" s="7" t="n">
        <v>0.008504635462321882</v>
      </c>
      <c r="I4" s="7" t="n">
        <v>0.01571457976751267</v>
      </c>
      <c r="J4" s="7" t="n">
        <v>0.01941077271840363</v>
      </c>
    </row>
    <row r="5">
      <c r="A5" s="5" t="n">
        <v>46178</v>
      </c>
      <c r="B5" s="7" t="n">
        <v>0.003751292537535145</v>
      </c>
      <c r="C5" s="7" t="n">
        <v>0.003275118706534519</v>
      </c>
      <c r="D5" s="7" t="n">
        <v>-0.003811607660676564</v>
      </c>
      <c r="E5" s="7" t="n">
        <v>0.002249002627677132</v>
      </c>
      <c r="F5" s="7" t="n">
        <v>0.0009361375976606467</v>
      </c>
      <c r="G5" s="7" t="n">
        <v>-0.001757380372509942</v>
      </c>
      <c r="H5" s="7" t="n">
        <v>0.00116760220219322</v>
      </c>
      <c r="I5" s="7" t="n">
        <v>0.01690053034764882</v>
      </c>
      <c r="J5" s="7" t="n">
        <v>0.01761928023490311</v>
      </c>
    </row>
    <row r="6">
      <c r="A6" s="5" t="n">
        <v>46181</v>
      </c>
      <c r="B6" s="7" t="n">
        <v>-0.009530577967981513</v>
      </c>
      <c r="C6" s="7" t="n">
        <v>0.006265672436478242</v>
      </c>
      <c r="D6" s="7" t="n">
        <v>-0.01002561931170887</v>
      </c>
      <c r="E6" s="7" t="n">
        <v>0.01219145389810627</v>
      </c>
      <c r="F6" s="7" t="n">
        <v>-0.005108309706310932</v>
      </c>
      <c r="G6" s="7" t="n">
        <v>-0.001757232612542459</v>
      </c>
      <c r="H6" s="7" t="n">
        <v>-0.001823436055767053</v>
      </c>
      <c r="I6" s="7" t="n">
        <v>0.01504627725548424</v>
      </c>
      <c r="J6" s="7" t="n">
        <v>0.01583108644852227</v>
      </c>
    </row>
    <row r="7">
      <c r="A7" s="5" t="n">
        <v>46182</v>
      </c>
      <c r="B7" s="7" t="n">
        <v>0.01689867447407578</v>
      </c>
      <c r="C7" s="7" t="n">
        <v>0.01228242236993982</v>
      </c>
      <c r="D7" s="7" t="n">
        <v>0.01650041294654114</v>
      </c>
      <c r="E7" s="7" t="n">
        <v>0.007973444356777826</v>
      </c>
      <c r="F7" s="7" t="n">
        <v>0.02098054203758681</v>
      </c>
      <c r="G7" s="7" t="n">
        <v>0.01456291533956655</v>
      </c>
      <c r="H7" s="7" t="n">
        <v>0.01497119996659886</v>
      </c>
      <c r="I7" s="7" t="n">
        <v>0.03024273804762778</v>
      </c>
      <c r="J7" s="7" t="n">
        <v>0.03062454855977204</v>
      </c>
    </row>
    <row r="8">
      <c r="A8" s="5" t="n">
        <v>46183</v>
      </c>
      <c r="B8" s="7" t="n">
        <v>-0.00486809761472351</v>
      </c>
      <c r="C8" s="7" t="n">
        <v>0.01198780661642584</v>
      </c>
      <c r="D8" s="7" t="n">
        <v>0.008991033141019455</v>
      </c>
      <c r="E8" s="7" t="n">
        <v>0.003663021010720247</v>
      </c>
      <c r="F8" s="7" t="n">
        <v>0.007879990691015193</v>
      </c>
      <c r="G8" s="7" t="n">
        <v>0.007256912562376261</v>
      </c>
      <c r="H8" s="7" t="n">
        <v>0.005393459669882699</v>
      </c>
      <c r="I8" s="7" t="n">
        <v>0.03579931070547726</v>
      </c>
      <c r="J8" s="7" t="n">
        <v>0.03810370079330871</v>
      </c>
    </row>
    <row r="9">
      <c r="A9" s="5" t="n">
        <v>46184</v>
      </c>
      <c r="B9" s="7" t="n">
        <v>-0.01245224226492514</v>
      </c>
      <c r="C9" s="7" t="n">
        <v>-0.001004980914640408</v>
      </c>
      <c r="D9" s="7" t="n">
        <v>-0.003625611424888264</v>
      </c>
      <c r="E9" s="7" t="n">
        <v>-0.002783667536200407</v>
      </c>
      <c r="F9" s="7" t="n">
        <v>-0.009346746140935336</v>
      </c>
      <c r="G9" s="7" t="n">
        <v>-0.003875269473414544</v>
      </c>
      <c r="H9" s="7" t="n">
        <v>-0.005864387109410993</v>
      </c>
      <c r="I9" s="7" t="n">
        <v>0.02972498257983935</v>
      </c>
      <c r="J9" s="7" t="n">
        <v>0.03408076921138581</v>
      </c>
    </row>
    <row r="10">
      <c r="A10" s="5" t="n">
        <v>46185</v>
      </c>
      <c r="B10" s="7" t="n">
        <v>0.007024290445036607</v>
      </c>
      <c r="C10" s="7" t="n">
        <v>0.001199925683104341</v>
      </c>
      <c r="D10" s="7" t="n">
        <v>0.004092435018697937</v>
      </c>
      <c r="E10" s="7" t="n">
        <v>0.002129839317139615</v>
      </c>
      <c r="F10" s="7" t="n">
        <v>0.00766079790678087</v>
      </c>
      <c r="G10" s="7" t="n">
        <v>0.005233040392273791</v>
      </c>
      <c r="H10" s="7" t="n">
        <v>0.004412295810067327</v>
      </c>
      <c r="I10" s="7" t="n">
        <v>0.0342684338059982</v>
      </c>
      <c r="J10" s="7" t="n">
        <v>0.03949215564554254</v>
      </c>
    </row>
    <row r="11">
      <c r="A11" s="5" t="n">
        <v>46188</v>
      </c>
      <c r="B11" s="7" t="n">
        <v>0.001038235572892399</v>
      </c>
      <c r="C11" s="7" t="n">
        <v>-0.000959969519719106</v>
      </c>
      <c r="D11" s="7" t="n">
        <v>-0.01180990953920458</v>
      </c>
      <c r="E11" s="7" t="n">
        <v>-0.01296383454615668</v>
      </c>
      <c r="F11" s="7" t="n">
        <v>-0.008011583524316856</v>
      </c>
      <c r="G11" s="7" t="n">
        <v>-0.00382075923531211</v>
      </c>
      <c r="H11" s="7" t="n">
        <v>-0.006375320689366615</v>
      </c>
      <c r="I11" s="7" t="n">
        <v>0.02767464086159599</v>
      </c>
      <c r="J11" s="7" t="n">
        <v>0.03552050639182536</v>
      </c>
    </row>
    <row r="12">
      <c r="A12" s="5" t="n">
        <v>46189</v>
      </c>
      <c r="B12" s="7" t="n">
        <v>-0.002669752343504084</v>
      </c>
      <c r="C12" s="7" t="n">
        <v>0.005493868500750398</v>
      </c>
      <c r="D12" s="7" t="n">
        <v>-0.00606131065417137</v>
      </c>
      <c r="E12" s="7" t="n">
        <v>-0.002944398949228377</v>
      </c>
      <c r="F12" s="7" t="n">
        <v>0.002545488564068776</v>
      </c>
      <c r="G12" s="7" t="n">
        <v>-0.003841567782132294</v>
      </c>
      <c r="H12" s="7" t="n">
        <v>-0.0009799320208496499</v>
      </c>
      <c r="I12" s="7" t="n">
        <v>0.02666758957400051</v>
      </c>
      <c r="J12" s="7" t="n">
        <v>0.03154248417673311</v>
      </c>
    </row>
    <row r="13">
      <c r="A13" s="5" t="n">
        <v>46190</v>
      </c>
      <c r="B13" s="7" t="n">
        <v>0.002152329630775496</v>
      </c>
      <c r="C13" s="7" t="n">
        <v>0.002251468162375536</v>
      </c>
      <c r="D13" s="7" t="n">
        <v>0.000759916248239012</v>
      </c>
      <c r="E13" s="7" t="n">
        <v>-0.003905005603212164</v>
      </c>
      <c r="F13" s="7" t="n">
        <v>0.008914552762705696</v>
      </c>
      <c r="G13" s="7" t="n">
        <v>0.002527660444094249</v>
      </c>
      <c r="H13" s="7" t="n">
        <v>0.001911159849422468</v>
      </c>
      <c r="I13" s="7" t="n">
        <v>0.02862971544989756</v>
      </c>
      <c r="J13" s="7" t="n">
        <v>0.03414987331038932</v>
      </c>
    </row>
    <row r="14">
      <c r="A14" s="5" t="n">
        <v>46191</v>
      </c>
      <c r="B14" s="7" t="n">
        <v>-0.01942017233334659</v>
      </c>
      <c r="C14" s="7" t="n">
        <v>-0.005433553764655152</v>
      </c>
      <c r="D14" s="7" t="n">
        <v>-0.02130273036340558</v>
      </c>
      <c r="E14" s="7" t="n">
        <v>-0.01280977302188613</v>
      </c>
      <c r="F14" s="7" t="n">
        <v>-0.01556928334135843</v>
      </c>
      <c r="G14" s="7" t="n">
        <v>-0.01686952220192028</v>
      </c>
      <c r="H14" s="7" t="n">
        <v>-0.015211313961821</v>
      </c>
      <c r="I14" s="7" t="n">
        <v>0.01298290589773066</v>
      </c>
      <c r="J14" s="7" t="n">
        <v>0.01670425906246664</v>
      </c>
    </row>
    <row r="15">
      <c r="A15" s="5" t="n">
        <v>46192</v>
      </c>
      <c r="B15" s="7" t="n">
        <v>-0.02529336645463642</v>
      </c>
      <c r="C15" s="7" t="n">
        <v>-0.02700671949121825</v>
      </c>
      <c r="D15" s="7" t="n">
        <v>-0.01588971762028013</v>
      </c>
      <c r="E15" s="7" t="n">
        <v>-0.01983597772023604</v>
      </c>
      <c r="F15" s="7" t="n">
        <v>-0.003763012544735322</v>
      </c>
      <c r="G15" s="7" t="n">
        <v>-0.01517426049261739</v>
      </c>
      <c r="H15" s="7" t="n">
        <v>-0.01883070769317558</v>
      </c>
      <c r="I15" s="7" t="n">
        <v>-0.006092279101413189</v>
      </c>
      <c r="J15" s="7" t="n">
        <v>0.001276523791499118</v>
      </c>
    </row>
    <row r="16">
      <c r="A16" s="5" t="n">
        <v>46195</v>
      </c>
      <c r="B16" s="7" t="n">
        <v>-0.009375104505892851</v>
      </c>
      <c r="C16" s="7" t="n">
        <v>0.0008164641753702906</v>
      </c>
      <c r="D16" s="7" t="n">
        <v>-0.002147092793644445</v>
      </c>
      <c r="E16" s="7" t="n">
        <v>0.005414534936098336</v>
      </c>
      <c r="F16" s="7" t="n">
        <v>-0.0002651964844407884</v>
      </c>
      <c r="G16" s="7" t="n">
        <v>-0.004710587763168794</v>
      </c>
      <c r="H16" s="7" t="n">
        <v>-0.001463528612617825</v>
      </c>
      <c r="I16" s="7" t="n">
        <v>-0.007546891489250029</v>
      </c>
      <c r="J16" s="7" t="n">
        <v>-0.003440077149021281</v>
      </c>
    </row>
    <row r="17">
      <c r="A17" s="5" t="n">
        <v>46196</v>
      </c>
      <c r="B17" s="7" t="n">
        <v>-0.01194790609839891</v>
      </c>
      <c r="C17" s="7" t="n">
        <v>-0.006671899195248354</v>
      </c>
      <c r="D17" s="7" t="n">
        <v>0.002394398144011323</v>
      </c>
      <c r="E17" s="7" t="n">
        <v>-0.01290337649134399</v>
      </c>
      <c r="F17" s="7" t="n">
        <v>-0.000445201093989489</v>
      </c>
      <c r="G17" s="7" t="n">
        <v>-0.008765480083009813</v>
      </c>
      <c r="H17" s="7" t="n">
        <v>-0.005810499561994958</v>
      </c>
      <c r="I17" s="7" t="n">
        <v>-0.01331353984155226</v>
      </c>
      <c r="J17" s="7" t="n">
        <v>-0.01217540330429734</v>
      </c>
    </row>
    <row r="18">
      <c r="A18" s="5" t="n">
        <v>46197</v>
      </c>
      <c r="B18" s="7" t="n">
        <v>0.01045843176344818</v>
      </c>
      <c r="C18" s="7" t="n">
        <v>0.001356951666791506</v>
      </c>
      <c r="D18" s="7" t="n">
        <v>0.004410777307782165</v>
      </c>
      <c r="E18" s="7" t="n">
        <v>0.001302533293214392</v>
      </c>
      <c r="F18" s="7" t="n">
        <v>0.01376660479160607</v>
      </c>
      <c r="G18" s="7" t="n">
        <v>0.003178225993357486</v>
      </c>
      <c r="H18" s="7" t="n">
        <v>0.006161502909458423</v>
      </c>
      <c r="I18" s="7" t="n">
        <v>-0.007234068346562816</v>
      </c>
      <c r="J18" s="7" t="n">
        <v>-0.009035873494201208</v>
      </c>
    </row>
    <row r="19">
      <c r="A19" s="5" t="n">
        <v>46198</v>
      </c>
      <c r="B19" s="7" t="n">
        <v>-0.005729808631480426</v>
      </c>
      <c r="C19" s="7" t="n">
        <v>-0.005844199906791969</v>
      </c>
      <c r="D19" s="7" t="n">
        <v>-0.006108424413498903</v>
      </c>
      <c r="E19" s="7" t="n">
        <v>-0.002107299098014326</v>
      </c>
      <c r="F19" s="7" t="n">
        <v>-0.006236769537816156</v>
      </c>
      <c r="G19" s="7" t="n">
        <v>-0.007822216679690852</v>
      </c>
      <c r="H19" s="7" t="n">
        <v>-0.005273900154460161</v>
      </c>
      <c r="I19" s="7" t="n">
        <v>-0.01246981674685266</v>
      </c>
      <c r="J19" s="7" t="n">
        <v>-0.01678740961353009</v>
      </c>
    </row>
    <row r="20">
      <c r="A20" s="5" t="n">
        <v>46199</v>
      </c>
      <c r="B20" s="7" t="n">
        <v>-0.02418853098747631</v>
      </c>
      <c r="C20" s="7" t="n">
        <v>-0.02113825234551991</v>
      </c>
      <c r="D20" s="7" t="n">
        <v>-0.0125725196234614</v>
      </c>
      <c r="E20" s="7" t="n">
        <v>-0.01909405540830722</v>
      </c>
      <c r="F20" s="7" t="n">
        <v>-0.01223689363895641</v>
      </c>
      <c r="G20" s="7" t="n">
        <v>-0.01236073331201759</v>
      </c>
      <c r="H20" s="7" t="n">
        <v>-0.01795800869186278</v>
      </c>
      <c r="I20" s="7" t="n">
        <v>-0.03020389236118959</v>
      </c>
      <c r="J20" s="7" t="n">
        <v>-0.02894063823231519</v>
      </c>
    </row>
    <row r="21">
      <c r="A21" s="5" t="n">
        <v>46202</v>
      </c>
      <c r="B21" s="7" t="n">
        <v>0.01657442666737485</v>
      </c>
      <c r="C21" s="7" t="n">
        <v>0.01060151769914364</v>
      </c>
      <c r="D21" s="7" t="n">
        <v>0.00263196587155945</v>
      </c>
      <c r="E21" s="7" t="n">
        <v>0.01455404856882492</v>
      </c>
      <c r="F21" s="7" t="n">
        <v>0.003784458720437867</v>
      </c>
      <c r="G21" s="7" t="n">
        <v>0.01354083892029401</v>
      </c>
      <c r="H21" s="7" t="n">
        <v>0.00963511628197279</v>
      </c>
      <c r="I21" s="7" t="n">
        <v>-0.02085979409428507</v>
      </c>
      <c r="J21" s="7" t="n">
        <v>-0.01579167983257546</v>
      </c>
    </row>
    <row r="22">
      <c r="A22" s="5" t="n">
        <v>46203</v>
      </c>
      <c r="B22" s="7" t="n">
        <v>-0.004019120862303827</v>
      </c>
      <c r="C22" s="7" t="n">
        <v>0.0008344304445926376</v>
      </c>
      <c r="D22" s="7" t="n">
        <v>-0.001615767181984307</v>
      </c>
      <c r="E22" s="7" t="n">
        <v>0.006786397707391201</v>
      </c>
      <c r="F22" s="7" t="n">
        <v>-0.005668153067638904</v>
      </c>
      <c r="G22" s="7" t="n">
        <v>-0.001681986704378913</v>
      </c>
      <c r="H22" s="7" t="n">
        <v>-0.0008309813868129024</v>
      </c>
      <c r="I22" s="7" t="n">
        <v>-0.02167344138047289</v>
      </c>
      <c r="J22" s="7" t="n">
        <v>-0.01744710514143621</v>
      </c>
    </row>
    <row r="23">
      <c r="A23" s="5" t="n">
        <v>46204</v>
      </c>
      <c r="B23" s="7" t="n">
        <v>-0.003144351467687878</v>
      </c>
      <c r="C23" s="7" t="n">
        <v>0.009242508011940931</v>
      </c>
      <c r="D23" s="7" t="n">
        <v>0.001527089059849329</v>
      </c>
      <c r="E23" s="7" t="n">
        <v>-0.008776529904197861</v>
      </c>
      <c r="F23" s="7" t="n">
        <v>0.0004799297409396885</v>
      </c>
      <c r="G23" s="7" t="n">
        <v>0.0009577538421912113</v>
      </c>
      <c r="H23" s="7" t="n">
        <v>9.787436466330952e-06</v>
      </c>
      <c r="I23" s="7" t="n">
        <v>-0.021663866071437</v>
      </c>
      <c r="J23" s="7" t="n">
        <v>-0.01650606133122934</v>
      </c>
    </row>
    <row r="24">
      <c r="A24" s="5" t="n">
        <v>46205</v>
      </c>
      <c r="B24" s="7" t="n">
        <v>-0.008870474482251534</v>
      </c>
      <c r="C24" s="7" t="n">
        <v>-0.01315230982503801</v>
      </c>
      <c r="D24" s="7" t="n">
        <v>0.00203407057649363</v>
      </c>
      <c r="E24" s="7" t="n">
        <v>-0.01042436706922467</v>
      </c>
      <c r="F24" s="7" t="n">
        <v>-0.005740365040448836</v>
      </c>
      <c r="G24" s="7" t="n">
        <v>-0.01247273367592117</v>
      </c>
      <c r="H24" s="7" t="n">
        <v>-0.006966378247846148</v>
      </c>
      <c r="I24" s="7" t="n">
        <v>-0.02847932563391886</v>
      </c>
      <c r="J24" s="7" t="n">
        <v>-0.02877291930012771</v>
      </c>
    </row>
    <row r="25">
      <c r="A25" s="5" t="n">
        <v>46206</v>
      </c>
      <c r="B25" s="7" t="n">
        <v>0.002174580149460814</v>
      </c>
      <c r="C25" s="7" t="n">
        <v>-0.008013742658530165</v>
      </c>
      <c r="D25" s="7" t="n">
        <v>-0.005445138116457193</v>
      </c>
      <c r="E25" s="7" t="n">
        <v>-0.002430698970350198</v>
      </c>
      <c r="F25" s="7" t="n">
        <v>-0.0009769941424921935</v>
      </c>
      <c r="G25" s="7" t="n">
        <v>-0.004549444520726698</v>
      </c>
      <c r="H25" s="7" t="n">
        <v>-0.002980337484496517</v>
      </c>
      <c r="I25" s="7" t="n">
        <v>-0.03137478511669545</v>
      </c>
      <c r="J25" s="7" t="n">
        <v>-0.03319146302079912</v>
      </c>
    </row>
    <row r="26">
      <c r="A26" s="5" t="n">
        <v>46209</v>
      </c>
      <c r="B26" s="7" t="n">
        <v>0.007719039247013448</v>
      </c>
      <c r="C26" s="7" t="n">
        <v>-0.001313605928434436</v>
      </c>
      <c r="D26" s="7" t="n">
        <v>0.003317277892923798</v>
      </c>
      <c r="E26" s="7" t="n">
        <v>0.006408189947038734</v>
      </c>
      <c r="F26" s="7" t="n">
        <v>0.006159496644018825</v>
      </c>
      <c r="G26" s="7" t="n">
        <v>0.001348303307388887</v>
      </c>
      <c r="H26" s="7" t="n">
        <v>0.004399029983978717</v>
      </c>
      <c r="I26" s="7" t="n">
        <v>-0.02711377375318602</v>
      </c>
      <c r="J26" s="7" t="n">
        <v>-0.03188791187277829</v>
      </c>
    </row>
    <row r="27">
      <c r="A27" s="5" t="n">
        <v>46210</v>
      </c>
      <c r="B27" s="7" t="n">
        <v>-0.01571430320758793</v>
      </c>
      <c r="C27" s="7" t="n">
        <v>-0.003172889219919206</v>
      </c>
      <c r="D27" s="7" t="n">
        <v>-0.009990270461091133</v>
      </c>
      <c r="E27" s="7" t="n">
        <v>-0.01689758949440467</v>
      </c>
      <c r="F27" s="7" t="n">
        <v>-0.006107801076652986</v>
      </c>
      <c r="G27" s="7" t="n">
        <v>-0.01000894219680071</v>
      </c>
      <c r="H27" s="7" t="n">
        <v>-0.010469379047728</v>
      </c>
      <c r="I27" s="7" t="n">
        <v>-0.03729928842607766</v>
      </c>
      <c r="J27" s="7" t="n">
        <v>-0.04157768980286769</v>
      </c>
    </row>
    <row r="28">
      <c r="A28" s="5" t="n">
        <v>46211</v>
      </c>
      <c r="B28" s="7" t="n">
        <v>0.002157965830333675</v>
      </c>
      <c r="C28" s="7" t="n">
        <v>0.005279720943472732</v>
      </c>
      <c r="D28" s="7" t="n">
        <v>-0.002827050453082292</v>
      </c>
      <c r="E28" s="7" t="n">
        <v>-0.004362112944267138</v>
      </c>
      <c r="F28" s="7" t="n">
        <v>0.01146653787026608</v>
      </c>
      <c r="G28" s="7" t="n">
        <v>0.003731282165110983</v>
      </c>
      <c r="H28" s="7" t="n">
        <v>0.002044606175136176</v>
      </c>
      <c r="I28" s="7" t="n">
        <v>-0.03533094460638553</v>
      </c>
      <c r="J28" s="7" t="n">
        <v>-0.03800154573018466</v>
      </c>
    </row>
    <row r="29">
      <c r="A29" s="5" t="n">
        <v>46212</v>
      </c>
      <c r="B29" s="7" t="n">
        <v>-0.002905323315609554</v>
      </c>
      <c r="C29" s="7" t="n">
        <v>-0.006911067098597456</v>
      </c>
      <c r="D29" s="7" t="n">
        <v>0.001792624114917984</v>
      </c>
      <c r="E29" s="7" t="n">
        <v>-0.001286923091981085</v>
      </c>
      <c r="F29" s="7" t="n">
        <v>-0.004554177335452714</v>
      </c>
      <c r="G29" s="7" t="n">
        <v>-0.005055748209269351</v>
      </c>
      <c r="H29" s="7" t="n">
        <v>-0.002614937306306013</v>
      </c>
      <c r="I29" s="7" t="n">
        <v>-0.03785349370757329</v>
      </c>
      <c r="J29" s="7" t="n">
        <v>-0.04286516769267912</v>
      </c>
    </row>
    <row r="30">
      <c r="A30" s="5" t="n">
        <v>46213</v>
      </c>
      <c r="B30" s="7" t="n">
        <v>0.004202037390748981</v>
      </c>
      <c r="C30" s="7" t="n">
        <v>0.001189013696204944</v>
      </c>
      <c r="D30" s="7" t="n">
        <v>0.002305967841443879</v>
      </c>
      <c r="E30" s="7" t="n">
        <v>-4.017658668675761e-05</v>
      </c>
      <c r="F30" s="7" t="n">
        <v>0.01516210656324701</v>
      </c>
      <c r="G30" s="7" t="n">
        <v>-0.002275243748139477</v>
      </c>
      <c r="H30" s="7" t="n">
        <v>0.004262949898886233</v>
      </c>
      <c r="I30" s="7" t="n">
        <v>-0.03375191135586031</v>
      </c>
      <c r="J30" s="7" t="n">
        <v>-0.04504288273601287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0" customWidth="1" min="4" max="4"/>
    <col width="18" customWidth="1" min="5" max="5"/>
    <col width="22" customWidth="1" min="6" max="6"/>
  </cols>
  <sheetData>
    <row r="1">
      <c r="A1" s="1" t="inlineStr">
        <is>
          <t>Portfolio Risk &amp; Return Metrics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Metric</t>
        </is>
      </c>
      <c r="B3" s="4" t="inlineStr">
        <is>
          <t>Value</t>
        </is>
      </c>
      <c r="C3" s="4" t="inlineStr">
        <is>
          <t>Unit / Formula</t>
        </is>
      </c>
      <c r="D3" s="4" t="inlineStr">
        <is>
          <t>Interpretation</t>
        </is>
      </c>
      <c r="E3" s="2" t="n"/>
      <c r="F3" s="2" t="n"/>
    </row>
    <row r="4">
      <c r="A4" s="2" t="inlineStr">
        <is>
          <t>Total Portfolio Return</t>
        </is>
      </c>
      <c r="B4" s="7" t="n">
        <v>-0.03375191135586031</v>
      </c>
      <c r="C4" s="2" t="inlineStr">
        <is>
          <t>%</t>
        </is>
      </c>
      <c r="D4" s="2" t="inlineStr">
        <is>
          <t>Overall return over the 30-day sample</t>
        </is>
      </c>
      <c r="E4" s="2" t="n"/>
      <c r="F4" s="2" t="n"/>
    </row>
    <row r="5">
      <c r="A5" s="2" t="inlineStr">
        <is>
          <t>Annualized Volatility</t>
        </is>
      </c>
      <c r="B5" s="7" t="n">
        <v>0.1228809917538941</v>
      </c>
      <c r="C5" s="2" t="inlineStr">
        <is>
          <t>%</t>
        </is>
      </c>
      <c r="D5" s="2" t="inlineStr">
        <is>
          <t>Portfolio risk based on daily return variability</t>
        </is>
      </c>
      <c r="E5" s="2" t="n"/>
      <c r="F5" s="2" t="n"/>
    </row>
    <row r="6">
      <c r="A6" s="2" t="inlineStr">
        <is>
          <t>Beta</t>
        </is>
      </c>
      <c r="B6" s="12" t="n">
        <v>0.8951284057063181</v>
      </c>
      <c r="C6" s="2" t="inlineStr">
        <is>
          <t>times</t>
        </is>
      </c>
      <c r="D6" s="2" t="inlineStr">
        <is>
          <t>Sensitivity to NIFTY 50 returns</t>
        </is>
      </c>
      <c r="E6" s="2" t="n"/>
      <c r="F6" s="2" t="n"/>
    </row>
    <row r="7">
      <c r="A7" s="2" t="inlineStr">
        <is>
          <t>Sharpe Ratio</t>
        </is>
      </c>
      <c r="B7" s="12" t="n">
        <v>-2.690418673793231</v>
      </c>
      <c r="C7" s="2" t="inlineStr">
        <is>
          <t>ratio</t>
        </is>
      </c>
      <c r="D7" s="2" t="inlineStr">
        <is>
          <t>Risk-adjusted return using 4% annual risk-free rate</t>
        </is>
      </c>
      <c r="E7" s="2" t="n"/>
      <c r="F7" s="2" t="n"/>
    </row>
    <row r="8">
      <c r="A8" s="2" t="inlineStr">
        <is>
          <t>Treynor Ratio</t>
        </is>
      </c>
      <c r="B8" s="12" t="n">
        <v>-0.369333955621754</v>
      </c>
      <c r="C8" s="2" t="inlineStr">
        <is>
          <t>ratio</t>
        </is>
      </c>
      <c r="D8" s="2" t="inlineStr">
        <is>
          <t>Excess return per unit of systematic risk</t>
        </is>
      </c>
      <c r="E8" s="2" t="n"/>
      <c r="F8" s="2" t="n"/>
    </row>
    <row r="9">
      <c r="A9" s="2" t="inlineStr">
        <is>
          <t>Max Drawdown</t>
        </is>
      </c>
      <c r="B9" s="7" t="n">
        <v>-0.071107215125376</v>
      </c>
      <c r="C9" s="2" t="inlineStr">
        <is>
          <t>%</t>
        </is>
      </c>
      <c r="D9" s="2" t="inlineStr">
        <is>
          <t>Largest peak-to-trough decline</t>
        </is>
      </c>
      <c r="E9" s="2" t="n"/>
      <c r="F9" s="2" t="n"/>
    </row>
    <row r="10">
      <c r="A10" s="2" t="inlineStr">
        <is>
          <t>Risk-Free Rate</t>
        </is>
      </c>
      <c r="B10" s="8" t="n">
        <v>0.04</v>
      </c>
      <c r="C10" s="2" t="inlineStr">
        <is>
          <t>%</t>
        </is>
      </c>
      <c r="D10" s="2" t="inlineStr">
        <is>
          <t>Annual assumption from project document</t>
        </is>
      </c>
      <c r="E10" s="2" t="n"/>
      <c r="F10" s="2" t="n"/>
    </row>
    <row r="11">
      <c r="A11" s="2" t="inlineStr">
        <is>
          <t>Initial Investment</t>
        </is>
      </c>
      <c r="B11" s="12" t="n">
        <v>1000000</v>
      </c>
      <c r="C11" s="2" t="inlineStr">
        <is>
          <t>₹</t>
        </is>
      </c>
      <c r="D11" s="2" t="inlineStr">
        <is>
          <t>Starting portfolio value</t>
        </is>
      </c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4" t="inlineStr">
        <is>
          <t>Stock</t>
        </is>
      </c>
      <c r="B14" s="4" t="inlineStr">
        <is>
          <t>Total Return</t>
        </is>
      </c>
      <c r="C14" s="4" t="inlineStr">
        <is>
          <t>Annualized Volatility</t>
        </is>
      </c>
      <c r="D14" s="4" t="inlineStr">
        <is>
          <t>Beta vs NIFTY 50</t>
        </is>
      </c>
      <c r="E14" s="4" t="inlineStr">
        <is>
          <t>Portfolio Weight</t>
        </is>
      </c>
      <c r="F14" s="4" t="inlineStr">
        <is>
          <t>Return Contribution</t>
        </is>
      </c>
    </row>
    <row r="15">
      <c r="A15" s="2" t="inlineStr">
        <is>
          <t>Reliance</t>
        </is>
      </c>
      <c r="B15" s="7" t="n">
        <v>-0.05977574695182208</v>
      </c>
      <c r="C15" s="7" t="n">
        <v>0.1729808288198656</v>
      </c>
      <c r="D15" s="12" t="n">
        <v>1.136091910415445</v>
      </c>
      <c r="E15" s="7" t="n">
        <v>0.22</v>
      </c>
      <c r="F15" s="7" t="n">
        <v>-0.01315066432940086</v>
      </c>
    </row>
    <row r="16">
      <c r="A16" s="2" t="inlineStr">
        <is>
          <t>TCS</t>
        </is>
      </c>
      <c r="B16" s="7" t="n">
        <v>-0.02567887777769706</v>
      </c>
      <c r="C16" s="7" t="n">
        <v>0.1385125476615011</v>
      </c>
      <c r="D16" s="12" t="n">
        <v>0.8518623975465265</v>
      </c>
      <c r="E16" s="7" t="n">
        <v>0.2</v>
      </c>
      <c r="F16" s="7" t="n">
        <v>-0.005135775555539413</v>
      </c>
    </row>
    <row r="17">
      <c r="A17" s="2" t="inlineStr">
        <is>
          <t>HDFC Bank</t>
        </is>
      </c>
      <c r="B17" s="7" t="n">
        <v>-0.04286648971058937</v>
      </c>
      <c r="C17" s="7" t="n">
        <v>0.1284615711120448</v>
      </c>
      <c r="D17" s="12" t="n">
        <v>0.7934909470958557</v>
      </c>
      <c r="E17" s="7" t="n">
        <v>0.23</v>
      </c>
      <c r="F17" s="7" t="n">
        <v>-0.009859292633435556</v>
      </c>
    </row>
    <row r="18">
      <c r="A18" s="2" t="inlineStr">
        <is>
          <t>Infosys</t>
        </is>
      </c>
      <c r="B18" s="7" t="n">
        <v>-0.05695066282761341</v>
      </c>
      <c r="C18" s="7" t="n">
        <v>0.1481543115999386</v>
      </c>
      <c r="D18" s="12" t="n">
        <v>0.8670068212160791</v>
      </c>
      <c r="E18" s="7" t="n">
        <v>0.18</v>
      </c>
      <c r="F18" s="7" t="n">
        <v>-0.01025111930897041</v>
      </c>
    </row>
    <row r="19">
      <c r="A19" s="2" t="inlineStr">
        <is>
          <t>Sun Pharma</t>
        </is>
      </c>
      <c r="B19" s="7" t="n">
        <v>0.02795844069793074</v>
      </c>
      <c r="C19" s="7" t="n">
        <v>0.1348030409972359</v>
      </c>
      <c r="D19" s="12" t="n">
        <v>0.801479766203964</v>
      </c>
      <c r="E19" s="7" t="n">
        <v>0.17</v>
      </c>
      <c r="F19" s="7" t="n">
        <v>0.004752934918648226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Stock Return Correlation Matrix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Stock</t>
        </is>
      </c>
      <c r="B3" s="4" t="inlineStr">
        <is>
          <t>Reliance</t>
        </is>
      </c>
      <c r="C3" s="4" t="inlineStr">
        <is>
          <t>TCS</t>
        </is>
      </c>
      <c r="D3" s="4" t="inlineStr">
        <is>
          <t>HDFC Bank</t>
        </is>
      </c>
      <c r="E3" s="4" t="inlineStr">
        <is>
          <t>Infosys</t>
        </is>
      </c>
      <c r="F3" s="4" t="inlineStr">
        <is>
          <t>Sun Pharma</t>
        </is>
      </c>
      <c r="G3" s="2" t="n"/>
    </row>
    <row r="4">
      <c r="A4" s="3" t="inlineStr">
        <is>
          <t>Reliance</t>
        </is>
      </c>
      <c r="B4" s="12" t="n">
        <v>1</v>
      </c>
      <c r="C4" s="12" t="n">
        <v>0.661762263805953</v>
      </c>
      <c r="D4" s="12" t="n">
        <v>0.7306556301556736</v>
      </c>
      <c r="E4" s="12" t="n">
        <v>0.6694391214696457</v>
      </c>
      <c r="F4" s="12" t="n">
        <v>0.7346443894329688</v>
      </c>
      <c r="G4" s="2" t="n"/>
    </row>
    <row r="5">
      <c r="A5" s="3" t="inlineStr">
        <is>
          <t>TCS</t>
        </is>
      </c>
      <c r="B5" s="12" t="n">
        <v>0.661762263805953</v>
      </c>
      <c r="C5" s="12" t="n">
        <v>1</v>
      </c>
      <c r="D5" s="12" t="n">
        <v>0.5583002224549396</v>
      </c>
      <c r="E5" s="12" t="n">
        <v>0.6684128555285105</v>
      </c>
      <c r="F5" s="12" t="n">
        <v>0.5650114686464114</v>
      </c>
      <c r="G5" s="2" t="n"/>
    </row>
    <row r="6">
      <c r="A6" s="3" t="inlineStr">
        <is>
          <t>HDFC Bank</t>
        </is>
      </c>
      <c r="B6" s="12" t="n">
        <v>0.7306556301556736</v>
      </c>
      <c r="C6" s="12" t="n">
        <v>0.5583002224549396</v>
      </c>
      <c r="D6" s="12" t="n">
        <v>1</v>
      </c>
      <c r="E6" s="12" t="n">
        <v>0.5529595055611995</v>
      </c>
      <c r="F6" s="12" t="n">
        <v>0.7702635266880833</v>
      </c>
      <c r="G6" s="2" t="n"/>
    </row>
    <row r="7">
      <c r="A7" s="3" t="inlineStr">
        <is>
          <t>Infosys</t>
        </is>
      </c>
      <c r="B7" s="12" t="n">
        <v>0.6694391214696457</v>
      </c>
      <c r="C7" s="12" t="n">
        <v>0.6684128555285105</v>
      </c>
      <c r="D7" s="12" t="n">
        <v>0.5529595055611995</v>
      </c>
      <c r="E7" s="12" t="n">
        <v>1</v>
      </c>
      <c r="F7" s="12" t="n">
        <v>0.4604445959123371</v>
      </c>
      <c r="G7" s="2" t="n"/>
    </row>
    <row r="8">
      <c r="A8" s="3" t="inlineStr">
        <is>
          <t>Sun Pharma</t>
        </is>
      </c>
      <c r="B8" s="12" t="n">
        <v>0.7346443894329688</v>
      </c>
      <c r="C8" s="12" t="n">
        <v>0.5650114686464114</v>
      </c>
      <c r="D8" s="12" t="n">
        <v>0.7702635266880833</v>
      </c>
      <c r="E8" s="12" t="n">
        <v>0.4604445959123371</v>
      </c>
      <c r="F8" s="12" t="n">
        <v>1</v>
      </c>
      <c r="G8" s="2" t="n"/>
    </row>
  </sheetData>
  <mergeCells count="1">
    <mergeCell ref="A1:G1"/>
  </mergeCells>
  <conditionalFormatting sqref="B4:F8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Portfolio What-If Scenario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Scenario</t>
        </is>
      </c>
      <c r="B3" s="4" t="inlineStr">
        <is>
          <t>Reliance</t>
        </is>
      </c>
      <c r="C3" s="4" t="inlineStr">
        <is>
          <t>TCS</t>
        </is>
      </c>
      <c r="D3" s="4" t="inlineStr">
        <is>
          <t>HDFC Bank</t>
        </is>
      </c>
      <c r="E3" s="4" t="inlineStr">
        <is>
          <t>Infosys</t>
        </is>
      </c>
      <c r="F3" s="4" t="inlineStr">
        <is>
          <t>Sun Pharma</t>
        </is>
      </c>
      <c r="G3" s="4" t="inlineStr">
        <is>
          <t>Portfolio Return</t>
        </is>
      </c>
      <c r="H3" s="4" t="inlineStr">
        <is>
          <t>Annualized Volatility</t>
        </is>
      </c>
      <c r="I3" s="4" t="inlineStr">
        <is>
          <t>Beta</t>
        </is>
      </c>
      <c r="J3" s="4" t="inlineStr">
        <is>
          <t>Sharpe Ratio</t>
        </is>
      </c>
      <c r="K3" s="4" t="inlineStr">
        <is>
          <t>Treynor Ratio</t>
        </is>
      </c>
      <c r="L3" s="4" t="inlineStr">
        <is>
          <t>Max Drawdown</t>
        </is>
      </c>
      <c r="M3" s="4" t="n"/>
    </row>
    <row r="4">
      <c r="A4" s="2" t="inlineStr">
        <is>
          <t>Base Portfolio</t>
        </is>
      </c>
      <c r="B4" s="7" t="n">
        <v>0.22</v>
      </c>
      <c r="C4" s="7" t="n">
        <v>0.2</v>
      </c>
      <c r="D4" s="7" t="n">
        <v>0.23</v>
      </c>
      <c r="E4" s="7" t="n">
        <v>0.18</v>
      </c>
      <c r="F4" s="7" t="n">
        <v>0.17</v>
      </c>
      <c r="G4" s="7" t="n">
        <v>-0.03375191135586031</v>
      </c>
      <c r="H4" s="7" t="n">
        <v>0.1228809917538941</v>
      </c>
      <c r="I4" s="12" t="n">
        <v>0.8951284057063181</v>
      </c>
      <c r="J4" s="12" t="n">
        <v>-2.690418673793231</v>
      </c>
      <c r="K4" s="12" t="n">
        <v>-0.369333955621754</v>
      </c>
      <c r="L4" s="7" t="n">
        <v>-0.071107215125376</v>
      </c>
      <c r="M4" s="2" t="n"/>
    </row>
    <row r="5">
      <c r="A5" s="2" t="inlineStr">
        <is>
          <t>Tech +10% (TCS)</t>
        </is>
      </c>
      <c r="B5" s="7" t="n">
        <v>0.18</v>
      </c>
      <c r="C5" s="7" t="n">
        <v>0.3</v>
      </c>
      <c r="D5" s="7" t="n">
        <v>0.2</v>
      </c>
      <c r="E5" s="7" t="n">
        <v>0.16</v>
      </c>
      <c r="F5" s="7" t="n">
        <v>0.16</v>
      </c>
      <c r="G5" s="7" t="n">
        <v>-0.03174867865567421</v>
      </c>
      <c r="H5" s="7" t="n">
        <v>0.1214886409020605</v>
      </c>
      <c r="I5" s="12" t="n">
        <v>0.8857113065451159</v>
      </c>
      <c r="J5" s="12" t="n">
        <v>-2.574672234019769</v>
      </c>
      <c r="K5" s="12" t="n">
        <v>-0.3531550609864555</v>
      </c>
      <c r="L5" s="7" t="n">
        <v>-0.0692575970366256</v>
      </c>
      <c r="M5" s="2" t="n"/>
    </row>
    <row r="6">
      <c r="A6" s="2" t="inlineStr">
        <is>
          <t>Defensive Tilt (Sun Pharma)</t>
        </is>
      </c>
      <c r="B6" s="7" t="n">
        <v>0.2</v>
      </c>
      <c r="C6" s="7" t="n">
        <v>0.18</v>
      </c>
      <c r="D6" s="7" t="n">
        <v>0.22</v>
      </c>
      <c r="E6" s="7" t="n">
        <v>0.15</v>
      </c>
      <c r="F6" s="7" t="n">
        <v>0.25</v>
      </c>
      <c r="G6" s="7" t="n">
        <v>-0.0277890351151755</v>
      </c>
      <c r="H6" s="7" t="n">
        <v>0.1220171332812545</v>
      </c>
      <c r="I6" s="12" t="n">
        <v>0.8855425867359551</v>
      </c>
      <c r="J6" s="12" t="n">
        <v>-2.272717053848595</v>
      </c>
      <c r="K6" s="12" t="n">
        <v>-0.3131531151902812</v>
      </c>
      <c r="L6" s="7" t="n">
        <v>-0.06665942222938419</v>
      </c>
      <c r="M6" s="2" t="n"/>
    </row>
    <row r="7">
      <c r="A7" s="2" t="inlineStr">
        <is>
          <t>Equal Weight</t>
        </is>
      </c>
      <c r="B7" s="7" t="n">
        <v>0.2</v>
      </c>
      <c r="C7" s="7" t="n">
        <v>0.2</v>
      </c>
      <c r="D7" s="7" t="n">
        <v>0.2</v>
      </c>
      <c r="E7" s="7" t="n">
        <v>0.2</v>
      </c>
      <c r="F7" s="7" t="n">
        <v>0.2</v>
      </c>
      <c r="G7" s="7" t="n">
        <v>-0.03161668123140426</v>
      </c>
      <c r="H7" s="7" t="n">
        <v>0.1221488097870845</v>
      </c>
      <c r="I7" s="12" t="n">
        <v>0.8899863684955741</v>
      </c>
      <c r="J7" s="12" t="n">
        <v>-2.550440041605573</v>
      </c>
      <c r="K7" s="12" t="n">
        <v>-0.3500426821615888</v>
      </c>
      <c r="L7" s="7" t="n">
        <v>-0.06964680863762925</v>
      </c>
      <c r="M7" s="2" t="n"/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2026-08-20T13:56:14Z</dcterms:created>
  <dcterms:modified xmlns:dcterms="http://purl.org/dc/terms/" xmlns:xsi="http://www.w3.org/2001/XMLSchema-instance" xsi:type="dcterms:W3CDTF">2026-08-20T13:56:14Z</dcterms:modified>
</cp:coreProperties>
</file>